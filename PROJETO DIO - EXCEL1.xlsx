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0759ba37aeb1a/Documentos/"/>
    </mc:Choice>
  </mc:AlternateContent>
  <xr:revisionPtr revIDLastSave="4" documentId="8_{BFB813EA-D619-4EBE-8565-BCC3473B72A4}" xr6:coauthVersionLast="47" xr6:coauthVersionMax="47" xr10:uidLastSave="{673FBE76-E848-4283-97AF-F318AC71C5C7}"/>
  <bookViews>
    <workbookView xWindow="-120" yWindow="-120" windowWidth="20730" windowHeight="11160" xr2:uid="{2CCFCB3D-57F6-464F-A8B1-7CA9A832C502}"/>
  </bookViews>
  <sheets>
    <sheet name="Invest" sheetId="1" r:id="rId1"/>
    <sheet name="Apoio" sheetId="2" r:id="rId2"/>
  </sheets>
  <externalReferences>
    <externalReference r:id="rId3"/>
  </externalReferences>
  <definedNames>
    <definedName name="aporte">Invest!$D$17</definedName>
    <definedName name="aporte2">Invest!$D$31</definedName>
    <definedName name="patrimonio_acumulado">Invest!$D$20</definedName>
    <definedName name="Qnt_anos">Invest!$D$18</definedName>
    <definedName name="rendimento_carteira">Invest!$D$13</definedName>
    <definedName name="sugestao_invest">Invest!$D$14</definedName>
    <definedName name="tx_mensal">Invest!$D$19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9" i="1"/>
  <c r="C38" i="1"/>
  <c r="C37" i="1"/>
  <c r="C36" i="1"/>
  <c r="C35" i="1"/>
  <c r="C34" i="1"/>
  <c r="C28" i="1"/>
  <c r="D28" i="1" s="1"/>
  <c r="C27" i="1"/>
  <c r="D27" i="1" s="1"/>
  <c r="C26" i="1"/>
  <c r="D26" i="1" s="1"/>
  <c r="C25" i="1"/>
  <c r="D25" i="1" s="1"/>
  <c r="C24" i="1"/>
  <c r="D24" i="1" s="1"/>
  <c r="D20" i="1"/>
  <c r="D21" i="1" s="1"/>
  <c r="D14" i="1"/>
  <c r="D31" i="1" s="1"/>
  <c r="D39" i="1" l="1"/>
  <c r="D37" i="1"/>
  <c r="D35" i="1"/>
  <c r="D36" i="1"/>
  <c r="D34" i="1"/>
  <c r="D38" i="1"/>
  <c r="D40" i="1" l="1"/>
</calcChain>
</file>

<file path=xl/sharedStrings.xml><?xml version="1.0" encoding="utf-8"?>
<sst xmlns="http://schemas.openxmlformats.org/spreadsheetml/2006/main" count="69" uniqueCount="34">
  <si>
    <t>CONFIGUAÇÕES</t>
  </si>
  <si>
    <t>Salário</t>
  </si>
  <si>
    <t>Rendimento Carteira</t>
  </si>
  <si>
    <t>Sugestão de investimento (30%)</t>
  </si>
  <si>
    <t>INVESTIMENTO MENSAL</t>
  </si>
  <si>
    <t>Quanto investir por mês?</t>
  </si>
  <si>
    <t>Quanto investir por ano?</t>
  </si>
  <si>
    <t>Taxa de rendimento mensal</t>
  </si>
  <si>
    <t>Patrimônio acumulado</t>
  </si>
  <si>
    <t>Dividendos mensais</t>
  </si>
  <si>
    <t>CENARIOS</t>
  </si>
  <si>
    <t>DIVIDENDOS</t>
  </si>
  <si>
    <t xml:space="preserve">Quanto em 2 anos? </t>
  </si>
  <si>
    <t>Quanto em 5 anos?</t>
  </si>
  <si>
    <t>Quanto em 10 anos?</t>
  </si>
  <si>
    <t>Quanto em 20 anos?</t>
  </si>
  <si>
    <t xml:space="preserve">Quanto em 30 anos? </t>
  </si>
  <si>
    <t>PERFIL</t>
  </si>
  <si>
    <t>AGRESSIVO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</si>
  <si>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</si>
  <si>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</si>
  <si>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</si>
  <si>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</si>
  <si>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</si>
  <si>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</si>
  <si>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</si>
  <si>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</si>
  <si>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</si>
  <si>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</si>
  <si>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TOTAL</t>
  </si>
  <si>
    <t>CHAVE</t>
  </si>
  <si>
    <t>TIPODE FII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</si>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</sst>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theme="9" tint="0.39991454817346722"/>
      </left>
      <right/>
      <top style="medium">
        <color theme="9" tint="0.39991454817346722"/>
      </top>
      <bottom style="medium">
        <color theme="9" tint="0.39991454817346722"/>
      </bottom>
      <diagonal/>
    </border>
    <border>
      <left/>
      <right style="medium">
        <color theme="9" tint="0.39991454817346722"/>
      </right>
      <top style="medium">
        <color theme="9" tint="0.39991454817346722"/>
      </top>
      <bottom style="medium">
        <color theme="9" tint="0.399914548173467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88402966399123"/>
      </left>
      <right/>
      <top style="medium">
        <color theme="9" tint="0.39988402966399123"/>
      </top>
      <bottom style="medium">
        <color theme="9" tint="0.39988402966399123"/>
      </bottom>
      <diagonal/>
    </border>
    <border>
      <left/>
      <right style="medium">
        <color theme="9" tint="0.39988402966399123"/>
      </right>
      <top style="medium">
        <color theme="9" tint="0.39988402966399123"/>
      </top>
      <bottom style="medium">
        <color theme="9" tint="0.39988402966399123"/>
      </bottom>
      <diagonal/>
    </border>
    <border>
      <left style="medium">
        <color theme="9" tint="0.39994506668294322"/>
      </left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34">
    <xf numFmtId="0" fontId="0" fillId="0" borderId="0" xfId="0"/>
    <xf numFmtId="0" fontId="5" fillId="3" borderId="0" xfId="3" applyFont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4" fontId="0" fillId="0" borderId="3" xfId="0" applyNumberFormat="1" applyBorder="1"/>
    <xf numFmtId="10" fontId="0" fillId="0" borderId="3" xfId="1" applyNumberFormat="1" applyFont="1" applyBorder="1"/>
    <xf numFmtId="164" fontId="3" fillId="5" borderId="3" xfId="0" applyNumberFormat="1" applyFont="1" applyFill="1" applyBorder="1"/>
    <xf numFmtId="0" fontId="5" fillId="6" borderId="0" xfId="0" applyFont="1" applyFill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0" fontId="0" fillId="0" borderId="2" xfId="1" applyNumberFormat="1" applyFont="1" applyBorder="1" applyAlignment="1">
      <alignment horizontal="right"/>
    </xf>
    <xf numFmtId="8" fontId="0" fillId="0" borderId="2" xfId="0" applyNumberFormat="1" applyBorder="1" applyAlignment="1">
      <alignment horizontal="right"/>
    </xf>
    <xf numFmtId="0" fontId="6" fillId="6" borderId="0" xfId="0" applyFont="1" applyFill="1" applyAlignment="1">
      <alignment horizontal="center"/>
    </xf>
    <xf numFmtId="0" fontId="7" fillId="6" borderId="0" xfId="0" applyFont="1" applyFill="1"/>
    <xf numFmtId="0" fontId="4" fillId="0" borderId="0" xfId="0" applyFont="1"/>
    <xf numFmtId="0" fontId="3" fillId="4" borderId="6" xfId="0" applyFont="1" applyFill="1" applyBorder="1"/>
    <xf numFmtId="8" fontId="0" fillId="0" borderId="6" xfId="0" applyNumberFormat="1" applyBorder="1"/>
    <xf numFmtId="0" fontId="2" fillId="7" borderId="6" xfId="2" applyFont="1" applyFill="1" applyBorder="1" applyAlignment="1">
      <alignment horizontal="left"/>
    </xf>
    <xf numFmtId="0" fontId="2" fillId="7" borderId="6" xfId="2" applyFont="1" applyFill="1" applyBorder="1" applyAlignment="1">
      <alignment horizontal="center"/>
    </xf>
    <xf numFmtId="0" fontId="2" fillId="7" borderId="6" xfId="0" applyFont="1" applyFill="1" applyBorder="1" applyAlignment="1">
      <alignment horizontal="left"/>
    </xf>
    <xf numFmtId="164" fontId="0" fillId="8" borderId="6" xfId="0" applyNumberFormat="1" applyFill="1" applyBorder="1"/>
    <xf numFmtId="0" fontId="2" fillId="6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164" fontId="0" fillId="0" borderId="6" xfId="0" applyNumberFormat="1" applyBorder="1"/>
    <xf numFmtId="0" fontId="2" fillId="9" borderId="6" xfId="0" applyFont="1" applyFill="1" applyBorder="1"/>
    <xf numFmtId="164" fontId="2" fillId="9" borderId="6" xfId="0" applyNumberFormat="1" applyFont="1" applyFill="1" applyBorder="1"/>
    <xf numFmtId="0" fontId="0" fillId="0" borderId="0" xfId="0" applyAlignment="1">
      <alignment horizontal="center"/>
    </xf>
    <xf numFmtId="9" fontId="0" fillId="0" borderId="0" xfId="1" applyFont="1"/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7" xfId="1" applyFont="1" applyBorder="1"/>
  </cellXfs>
  <cellStyles count="4">
    <cellStyle name="40% - Ênfase2" xfId="2" builtinId="35"/>
    <cellStyle name="Ênfase6" xfId="3" builtinId="49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171450</xdr:rowOff>
    </xdr:from>
    <xdr:to>
      <xdr:col>4</xdr:col>
      <xdr:colOff>19050</xdr:colOff>
      <xdr:row>7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A62421C-B0D0-4195-A329-604C5DE26774}"/>
            </a:ext>
          </a:extLst>
        </xdr:cNvPr>
        <xdr:cNvSpPr/>
      </xdr:nvSpPr>
      <xdr:spPr>
        <a:xfrm>
          <a:off x="600075" y="361950"/>
          <a:ext cx="4914900" cy="98107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 b="0" cap="none" spc="0">
              <a:ln w="0">
                <a:solidFill>
                  <a:schemeClr val="bg1"/>
                </a:solidFill>
              </a:ln>
              <a:solidFill>
                <a:schemeClr val="tx1"/>
              </a:solidFill>
              <a:effectLst>
                <a:reflection blurRad="6350" stA="55000" endA="300" endPos="45500" dir="5400000" sy="-100000" algn="bl" rotWithShape="0"/>
              </a:effectLst>
              <a:latin typeface="Agency FB" panose="020B0503020202020204" pitchFamily="34" charset="0"/>
            </a:rPr>
            <a:t>GABI'S</a:t>
          </a:r>
          <a:r>
            <a:rPr lang="pt-BR" sz="3600" b="0" cap="none" spc="0" baseline="0">
              <a:ln w="0">
                <a:solidFill>
                  <a:schemeClr val="bg1"/>
                </a:solidFill>
              </a:ln>
              <a:solidFill>
                <a:schemeClr val="tx1"/>
              </a:solidFill>
              <a:effectLst>
                <a:reflection blurRad="6350" stA="55000" endA="300" endPos="45500" dir="5400000" sy="-100000" algn="bl" rotWithShape="0"/>
              </a:effectLst>
              <a:latin typeface="Agency FB" panose="020B0503020202020204" pitchFamily="34" charset="0"/>
            </a:rPr>
            <a:t> INVESTIMENTO </a:t>
          </a:r>
          <a:endParaRPr lang="pt-BR" sz="3600" b="0" cap="none" spc="0">
            <a:ln w="0">
              <a:solidFill>
                <a:schemeClr val="bg1"/>
              </a:solidFill>
            </a:ln>
            <a:solidFill>
              <a:schemeClr val="tx1"/>
            </a:solidFill>
            <a:effectLst>
              <a:reflection blurRad="6350" stA="55000" endA="300" endPos="45500" dir="5400000" sy="-100000" algn="bl" rotWithShape="0"/>
            </a:effectLst>
            <a:latin typeface="Agency FB" panose="020B0503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00759ba37aeb1a/Documentos/PROJETO%20-%20EXCEL%20DIO.xlsx" TargetMode="External"/><Relationship Id="rId1" Type="http://schemas.openxmlformats.org/officeDocument/2006/relationships/externalLinkPath" Target="PROJETO%20-%20EXCEL%20D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e de invest"/>
      <sheetName val="APOIO"/>
    </sheetNames>
    <sheetDataSet>
      <sheetData sheetId="0" refreshError="1"/>
      <sheetData sheetId="1">
        <row r="2">
          <cell r="C2" t="str">
            <v>CHAVE</v>
          </cell>
          <cell r="D2" t="str">
            <v>PERFIL</v>
          </cell>
          <cell r="E2" t="str">
            <v>TIPODE FII</v>
          </cell>
        </row>
        <row r="3">
          <cell r="C3" t="str">
            <v>AGRESSIVO-PAPEL</v>
          </cell>
          <cell r="D3" t="str">
            <v>AGRESSIVO</v>
          </cell>
          <cell r="E3" t="str">
            <v>PAPEL</v>
          </cell>
          <cell r="F3">
            <v>0.5</v>
          </cell>
        </row>
        <row r="4">
          <cell r="C4" t="str">
            <v>AGRESSIVO-TIJOLO</v>
          </cell>
          <cell r="D4" t="str">
            <v>AGRESSIVO</v>
          </cell>
          <cell r="E4" t="str">
            <v>TIJOLO</v>
          </cell>
          <cell r="F4">
            <v>0.1</v>
          </cell>
        </row>
        <row r="5">
          <cell r="C5" t="str">
            <v>AGRESSIVO-HÍBRIDOS</v>
          </cell>
          <cell r="D5" t="str">
            <v>AGRESSIVO</v>
          </cell>
          <cell r="E5" t="str">
            <v>HÍBRIDOS</v>
          </cell>
          <cell r="F5">
            <v>0.05</v>
          </cell>
        </row>
        <row r="6">
          <cell r="C6" t="str">
            <v>AGRESSIVO-FOF's</v>
          </cell>
          <cell r="D6" t="str">
            <v>AGRESSIVO</v>
          </cell>
          <cell r="E6" t="str">
            <v>FOF's</v>
          </cell>
          <cell r="F6">
            <v>0.05</v>
          </cell>
        </row>
        <row r="7">
          <cell r="C7" t="str">
            <v>AGRESSIVO-DESENVOLVIMENTO</v>
          </cell>
          <cell r="D7" t="str">
            <v>AGRESSIVO</v>
          </cell>
          <cell r="E7" t="str">
            <v>DESENVOLVIMENTO</v>
          </cell>
          <cell r="F7">
            <v>0.2</v>
          </cell>
        </row>
        <row r="8">
          <cell r="C8" t="str">
            <v>AGRESSIVO-HOTELARIAS</v>
          </cell>
          <cell r="D8" t="str">
            <v>AGRESSIVO</v>
          </cell>
          <cell r="E8" t="str">
            <v>HOTELARIAS</v>
          </cell>
          <cell r="F8">
            <v>0.1</v>
          </cell>
        </row>
        <row r="9">
          <cell r="C9" t="str">
            <v>CONSERVADOR-PAPEL</v>
          </cell>
          <cell r="D9" t="str">
            <v>CONSERVADOR</v>
          </cell>
          <cell r="E9" t="str">
            <v>PAPEL</v>
          </cell>
          <cell r="F9">
            <v>0.3</v>
          </cell>
        </row>
        <row r="10">
          <cell r="C10" t="str">
            <v>CONSERVADOR-TIJOLO</v>
          </cell>
          <cell r="D10" t="str">
            <v>CONSERVADOR</v>
          </cell>
          <cell r="E10" t="str">
            <v>TIJOLO</v>
          </cell>
          <cell r="F10">
            <v>0.5</v>
          </cell>
        </row>
        <row r="11">
          <cell r="C11" t="str">
            <v>CONSERVADOR-HÍBRIDOS</v>
          </cell>
          <cell r="D11" t="str">
            <v>CONSERVADOR</v>
          </cell>
          <cell r="E11" t="str">
            <v>HÍBRIDOS</v>
          </cell>
          <cell r="F11">
            <v>0.1</v>
          </cell>
        </row>
        <row r="12">
          <cell r="C12" t="str">
            <v>CONSERVADOR-FOF's</v>
          </cell>
          <cell r="D12" t="str">
            <v>CONSERVADOR</v>
          </cell>
          <cell r="E12" t="str">
            <v>FOF's</v>
          </cell>
          <cell r="F12">
            <v>0.1</v>
          </cell>
        </row>
        <row r="13">
          <cell r="C13" t="str">
            <v>CONSERVADOR-DESENVOLVIMENTO</v>
          </cell>
          <cell r="D13" t="str">
            <v>CONSERVADOR</v>
          </cell>
          <cell r="E13" t="str">
            <v>DESENVOLVIMENTO</v>
          </cell>
          <cell r="F13">
            <v>0</v>
          </cell>
        </row>
        <row r="14">
          <cell r="C14" t="str">
            <v>CONSERVADOR-HOTELARIAS</v>
          </cell>
          <cell r="D14" t="str">
            <v>CONSERVADOR</v>
          </cell>
          <cell r="E14" t="str">
            <v>HOTELARIAS</v>
          </cell>
          <cell r="F14">
            <v>0</v>
          </cell>
        </row>
        <row r="15">
          <cell r="C15" t="str">
            <v>MODERADO-PAPEL</v>
          </cell>
          <cell r="D15" t="str">
            <v>MODERADO</v>
          </cell>
          <cell r="E15" t="str">
            <v>PAPEL</v>
          </cell>
          <cell r="F15">
            <v>0.32</v>
          </cell>
        </row>
        <row r="16">
          <cell r="C16" t="str">
            <v>MODERADO-TIJOLO</v>
          </cell>
          <cell r="D16" t="str">
            <v>MODERADO</v>
          </cell>
          <cell r="E16" t="str">
            <v>TIJOLO</v>
          </cell>
          <cell r="F16">
            <v>0.35</v>
          </cell>
        </row>
        <row r="17">
          <cell r="C17" t="str">
            <v>MODERADO-HÍBRIDOS</v>
          </cell>
          <cell r="D17" t="str">
            <v>MODERADO</v>
          </cell>
          <cell r="E17" t="str">
            <v>HÍBRIDOS</v>
          </cell>
          <cell r="F17">
            <v>0.08</v>
          </cell>
        </row>
        <row r="18">
          <cell r="C18" t="str">
            <v>MODERADO-FOF's</v>
          </cell>
          <cell r="D18" t="str">
            <v>MODERADO</v>
          </cell>
          <cell r="E18" t="str">
            <v>FOF's</v>
          </cell>
          <cell r="F18">
            <v>0.1</v>
          </cell>
        </row>
        <row r="19">
          <cell r="C19" t="str">
            <v>MODERADO-DESENVOLVIMENTO</v>
          </cell>
          <cell r="D19" t="str">
            <v>MODERADO</v>
          </cell>
          <cell r="E19" t="str">
            <v>DESENVOLVIMENTO</v>
          </cell>
          <cell r="F19">
            <v>0.1</v>
          </cell>
        </row>
        <row r="20">
          <cell r="C20" t="str">
            <v>MODERADO-HOTELARIAS</v>
          </cell>
          <cell r="D20" t="str">
            <v>MODERADO</v>
          </cell>
          <cell r="E20" t="str">
            <v>HOTELARIAS</v>
          </cell>
          <cell r="F2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3CE5-CC99-4D66-B172-6C84C6931159}">
  <dimension ref="A1:G41"/>
  <sheetViews>
    <sheetView showGridLines="0" tabSelected="1" workbookViewId="0"/>
  </sheetViews>
  <sheetFormatPr defaultColWidth="0" defaultRowHeight="15" customHeight="1" zeroHeight="1" x14ac:dyDescent="0.25"/>
  <cols>
    <col min="1" max="1" width="9.140625" customWidth="1"/>
    <col min="2" max="2" width="26.140625" bestFit="1" customWidth="1"/>
    <col min="3" max="3" width="30.140625" bestFit="1" customWidth="1"/>
    <col min="4" max="4" width="17" bestFit="1" customWidth="1"/>
    <col min="5" max="5" width="9.140625" customWidth="1"/>
    <col min="6" max="6" width="24.42578125" hidden="1"/>
    <col min="7" max="7" width="10.7109375" hidden="1"/>
    <col min="8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ht="24" thickBot="1" x14ac:dyDescent="0.3">
      <c r="B11" s="1" t="s">
        <v>0</v>
      </c>
      <c r="C11" s="1"/>
      <c r="D11" s="1"/>
    </row>
    <row r="12" spans="2:4" ht="15.75" thickBot="1" x14ac:dyDescent="0.3">
      <c r="B12" s="2" t="s">
        <v>1</v>
      </c>
      <c r="C12" s="3"/>
      <c r="D12" s="4">
        <v>4200</v>
      </c>
    </row>
    <row r="13" spans="2:4" ht="15.75" thickBot="1" x14ac:dyDescent="0.3">
      <c r="B13" s="2" t="s">
        <v>2</v>
      </c>
      <c r="C13" s="3"/>
      <c r="D13" s="5">
        <v>6.0000000000000001E-3</v>
      </c>
    </row>
    <row r="14" spans="2:4" ht="15.75" thickBot="1" x14ac:dyDescent="0.3">
      <c r="B14" s="2" t="s">
        <v>3</v>
      </c>
      <c r="C14" s="3"/>
      <c r="D14" s="6">
        <f>D12*30%</f>
        <v>1260</v>
      </c>
    </row>
    <row r="15" spans="2:4" x14ac:dyDescent="0.25"/>
    <row r="16" spans="2:4" ht="30" customHeight="1" thickBot="1" x14ac:dyDescent="0.4">
      <c r="B16" s="7" t="s">
        <v>4</v>
      </c>
      <c r="C16" s="7"/>
      <c r="D16" s="7"/>
    </row>
    <row r="17" spans="1:4" ht="15.75" thickBot="1" x14ac:dyDescent="0.3">
      <c r="B17" s="8" t="s">
        <v>5</v>
      </c>
      <c r="C17" s="9"/>
      <c r="D17" s="10">
        <v>1260</v>
      </c>
    </row>
    <row r="18" spans="1:4" ht="15.75" thickBot="1" x14ac:dyDescent="0.3">
      <c r="B18" s="8" t="s">
        <v>6</v>
      </c>
      <c r="C18" s="9"/>
      <c r="D18" s="11">
        <v>10</v>
      </c>
    </row>
    <row r="19" spans="1:4" ht="15.75" thickBot="1" x14ac:dyDescent="0.3">
      <c r="B19" s="8" t="s">
        <v>7</v>
      </c>
      <c r="C19" s="9"/>
      <c r="D19" s="12">
        <v>1.0789999999999999E-2</v>
      </c>
    </row>
    <row r="20" spans="1:4" ht="15.75" thickBot="1" x14ac:dyDescent="0.3">
      <c r="B20" s="8" t="s">
        <v>8</v>
      </c>
      <c r="C20" s="9"/>
      <c r="D20" s="13">
        <f>FV(tx_mensal,Qnt_anos*12,aporte*-1)</f>
        <v>306538.10778801696</v>
      </c>
    </row>
    <row r="21" spans="1:4" ht="15.75" thickBot="1" x14ac:dyDescent="0.3">
      <c r="B21" s="8" t="s">
        <v>9</v>
      </c>
      <c r="C21" s="9"/>
      <c r="D21" s="13">
        <f>patrimonio_acumulado*rendimento_carteira</f>
        <v>1839.2286467281017</v>
      </c>
    </row>
    <row r="22" spans="1:4" x14ac:dyDescent="0.25"/>
    <row r="23" spans="1:4" ht="24" thickBot="1" x14ac:dyDescent="0.4">
      <c r="B23" s="7" t="s">
        <v>10</v>
      </c>
      <c r="C23" s="14"/>
      <c r="D23" s="15" t="s">
        <v>11</v>
      </c>
    </row>
    <row r="24" spans="1:4" ht="15.75" thickBot="1" x14ac:dyDescent="0.3">
      <c r="A24" s="16">
        <v>2</v>
      </c>
      <c r="B24" s="17" t="s">
        <v>12</v>
      </c>
      <c r="C24" s="18">
        <f>FV(tx_mensal,A24*12,aporte*-1)</f>
        <v>34306.810395032975</v>
      </c>
      <c r="D24" s="18">
        <f>C24*rendimento_carteira</f>
        <v>205.84086237019787</v>
      </c>
    </row>
    <row r="25" spans="1:4" ht="15.75" thickBot="1" x14ac:dyDescent="0.3">
      <c r="A25" s="16">
        <v>5</v>
      </c>
      <c r="B25" s="17" t="s">
        <v>13</v>
      </c>
      <c r="C25" s="18">
        <f>FV(tx_mensal,A25*12,aporte*-1)</f>
        <v>105558.91163809443</v>
      </c>
      <c r="D25" s="18">
        <f>C25*rendimento_carteira</f>
        <v>633.35346982856663</v>
      </c>
    </row>
    <row r="26" spans="1:4" ht="15.75" thickBot="1" x14ac:dyDescent="0.3">
      <c r="A26" s="16">
        <v>10</v>
      </c>
      <c r="B26" s="17" t="s">
        <v>14</v>
      </c>
      <c r="C26" s="18">
        <f>FV(tx_mensal,A26*12,aporte*-1)</f>
        <v>306538.10778801696</v>
      </c>
      <c r="D26" s="18">
        <f>C26*rendimento_carteira</f>
        <v>1839.2286467281017</v>
      </c>
    </row>
    <row r="27" spans="1:4" ht="15.75" thickBot="1" x14ac:dyDescent="0.3">
      <c r="A27" s="16">
        <v>20</v>
      </c>
      <c r="B27" s="17" t="s">
        <v>15</v>
      </c>
      <c r="C27" s="18">
        <f>FV(tx_mensal,A27*12,aporte*-1)</f>
        <v>1417749.9841223215</v>
      </c>
      <c r="D27" s="18">
        <f>C27*rendimento_carteira</f>
        <v>8506.4999047339297</v>
      </c>
    </row>
    <row r="28" spans="1:4" ht="15.75" thickBot="1" x14ac:dyDescent="0.3">
      <c r="A28" s="16">
        <v>30</v>
      </c>
      <c r="B28" s="17" t="s">
        <v>16</v>
      </c>
      <c r="C28" s="18">
        <f>FV(tx_mensal,A28*12,aporte*-1)</f>
        <v>5445933.7653059401</v>
      </c>
      <c r="D28" s="18">
        <f>C28*rendimento_carteira</f>
        <v>32675.602591835643</v>
      </c>
    </row>
    <row r="29" spans="1:4" ht="15.75" thickBot="1" x14ac:dyDescent="0.3"/>
    <row r="30" spans="1:4" ht="15.75" thickBot="1" x14ac:dyDescent="0.3">
      <c r="B30" s="19" t="s">
        <v>17</v>
      </c>
      <c r="C30" s="19"/>
      <c r="D30" s="20" t="s">
        <v>18</v>
      </c>
    </row>
    <row r="31" spans="1:4" ht="15.75" thickBot="1" x14ac:dyDescent="0.3">
      <c r="B31" s="21" t="s">
        <v>19</v>
      </c>
      <c r="C31" s="21"/>
      <c r="D31" s="22">
        <f>sugestao_invest</f>
        <v>1260</v>
      </c>
    </row>
    <row r="32" spans="1:4" ht="15.75" thickBot="1" x14ac:dyDescent="0.3"/>
    <row r="33" spans="2:4" ht="15.75" thickBot="1" x14ac:dyDescent="0.3">
      <c r="B33" s="23" t="s">
        <v>20</v>
      </c>
      <c r="C33" s="23" t="s">
        <v>21</v>
      </c>
      <c r="D33" s="23" t="s">
        <v>22</v>
      </c>
    </row>
    <row r="34" spans="2:4" ht="15.75" thickBot="1" x14ac:dyDescent="0.3">
      <c r="B34" s="24" t="s">
        <v>23</v>
      </c>
      <c r="C34" s="25">
        <f>VLOOKUP($D$30&amp;"-"&amp;B34,[1]APOIO!$C:$F,4,FALSE)</f>
        <v>0.5</v>
      </c>
      <c r="D34" s="26">
        <f>aporte2*C34</f>
        <v>630</v>
      </c>
    </row>
    <row r="35" spans="2:4" ht="15.75" thickBot="1" x14ac:dyDescent="0.3">
      <c r="B35" s="24" t="s">
        <v>24</v>
      </c>
      <c r="C35" s="25">
        <f>VLOOKUP($D$30&amp;"-"&amp;B35,[1]APOIO!$C:$F,4,FALSE)</f>
        <v>0.1</v>
      </c>
      <c r="D35" s="26">
        <f>aporte2*C35</f>
        <v>126</v>
      </c>
    </row>
    <row r="36" spans="2:4" ht="15.75" thickBot="1" x14ac:dyDescent="0.3">
      <c r="B36" s="24" t="s">
        <v>25</v>
      </c>
      <c r="C36" s="25">
        <f>VLOOKUP($D$30&amp;"-"&amp;B36,[1]APOIO!$C:$F,4,FALSE)</f>
        <v>0.05</v>
      </c>
      <c r="D36" s="26">
        <f>aporte2*C36</f>
        <v>63</v>
      </c>
    </row>
    <row r="37" spans="2:4" ht="15.75" thickBot="1" x14ac:dyDescent="0.3">
      <c r="B37" s="24" t="s">
        <v>26</v>
      </c>
      <c r="C37" s="25">
        <f>VLOOKUP($D$30&amp;"-"&amp;B37,[1]APOIO!$C:$F,4,FALSE)</f>
        <v>0.05</v>
      </c>
      <c r="D37" s="26">
        <f>aporte2*C37</f>
        <v>63</v>
      </c>
    </row>
    <row r="38" spans="2:4" ht="15.75" thickBot="1" x14ac:dyDescent="0.3">
      <c r="B38" s="24" t="s">
        <v>27</v>
      </c>
      <c r="C38" s="25">
        <f>VLOOKUP($D$30&amp;"-"&amp;B38,[1]APOIO!$C:$F,4,FALSE)</f>
        <v>0.2</v>
      </c>
      <c r="D38" s="26">
        <f>aporte2*C38</f>
        <v>252</v>
      </c>
    </row>
    <row r="39" spans="2:4" ht="15.75" thickBot="1" x14ac:dyDescent="0.3">
      <c r="B39" s="24" t="s">
        <v>28</v>
      </c>
      <c r="C39" s="25">
        <f>VLOOKUP($D$30&amp;"-"&amp;B39,[1]APOIO!$C:$F,4,FALSE)</f>
        <v>0.1</v>
      </c>
      <c r="D39" s="26">
        <f>aporte2*C39</f>
        <v>126</v>
      </c>
    </row>
    <row r="40" spans="2:4" ht="15.75" thickBot="1" x14ac:dyDescent="0.3">
      <c r="B40" s="27" t="s">
        <v>29</v>
      </c>
      <c r="C40" s="27"/>
      <c r="D40" s="28">
        <f>SUM(D34:D39)</f>
        <v>1260</v>
      </c>
    </row>
    <row r="41" spans="2:4" x14ac:dyDescent="0.25"/>
  </sheetData>
  <mergeCells count="13">
    <mergeCell ref="B31:C31"/>
    <mergeCell ref="B18:C18"/>
    <mergeCell ref="B19:C19"/>
    <mergeCell ref="B20:C20"/>
    <mergeCell ref="B21:C21"/>
    <mergeCell ref="B23:C23"/>
    <mergeCell ref="B30:C30"/>
    <mergeCell ref="B11:D11"/>
    <mergeCell ref="B12:C12"/>
    <mergeCell ref="B13:C13"/>
    <mergeCell ref="B14:C14"/>
    <mergeCell ref="B16:D16"/>
    <mergeCell ref="B17:C17"/>
  </mergeCells>
  <dataValidations disablePrompts="1" count="1">
    <dataValidation type="list" allowBlank="1" showInputMessage="1" showErrorMessage="1" sqref="D30" xr:uid="{C92549A8-2F5F-4499-B7B7-C3B04D827710}">
      <formula1>"AGRESSIVO, CONSERVADOR, 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0E3A-6946-4EC2-9FDD-7E09D0DE700E}">
  <dimension ref="C2:F20"/>
  <sheetViews>
    <sheetView workbookViewId="0">
      <selection activeCell="M10" sqref="M10"/>
    </sheetView>
  </sheetViews>
  <sheetFormatPr defaultRowHeight="15" x14ac:dyDescent="0.25"/>
  <cols>
    <col min="3" max="3" width="19.28515625" customWidth="1"/>
    <col min="4" max="4" width="14.7109375" bestFit="1" customWidth="1"/>
  </cols>
  <sheetData>
    <row r="2" spans="3:6" x14ac:dyDescent="0.25">
      <c r="C2" t="s">
        <v>30</v>
      </c>
      <c r="D2" t="s">
        <v>17</v>
      </c>
      <c r="E2" t="s">
        <v>31</v>
      </c>
    </row>
    <row r="3" spans="3:6" x14ac:dyDescent="0.25">
      <c r="C3" t="str">
        <f>D3&amp;"-"&amp;E3</f>
        <v>AGRESSIVO-PAPEL</v>
      </c>
      <c r="D3" t="s">
        <v>18</v>
      </c>
      <c r="E3" s="29" t="s">
        <v>23</v>
      </c>
      <c r="F3" s="30">
        <v>0.5</v>
      </c>
    </row>
    <row r="4" spans="3:6" x14ac:dyDescent="0.25">
      <c r="C4" t="str">
        <f t="shared" ref="C4:C8" si="0">D4&amp;"-"&amp;E4</f>
        <v>AGRESSIVO-TIJOLO</v>
      </c>
      <c r="D4" t="s">
        <v>18</v>
      </c>
      <c r="E4" s="29" t="s">
        <v>24</v>
      </c>
      <c r="F4" s="30">
        <v>0.1</v>
      </c>
    </row>
    <row r="5" spans="3:6" x14ac:dyDescent="0.25">
      <c r="C5" t="str">
        <f t="shared" si="0"/>
        <v>AGRESSIVO-HÍBRIDOS</v>
      </c>
      <c r="D5" t="s">
        <v>18</v>
      </c>
      <c r="E5" s="29" t="s">
        <v>25</v>
      </c>
      <c r="F5" s="30">
        <v>0.05</v>
      </c>
    </row>
    <row r="6" spans="3:6" x14ac:dyDescent="0.25">
      <c r="C6" t="str">
        <f t="shared" si="0"/>
        <v>AGRESSIVO-FOF's</v>
      </c>
      <c r="D6" t="s">
        <v>18</v>
      </c>
      <c r="E6" s="29" t="s">
        <v>26</v>
      </c>
      <c r="F6" s="30">
        <v>0.05</v>
      </c>
    </row>
    <row r="7" spans="3:6" x14ac:dyDescent="0.25">
      <c r="C7" t="str">
        <f t="shared" si="0"/>
        <v>AGRESSIVO-DESENVOLVIMENTO</v>
      </c>
      <c r="D7" t="s">
        <v>18</v>
      </c>
      <c r="E7" s="29" t="s">
        <v>27</v>
      </c>
      <c r="F7" s="30">
        <v>0.2</v>
      </c>
    </row>
    <row r="8" spans="3:6" ht="15.75" thickBot="1" x14ac:dyDescent="0.3">
      <c r="C8" s="31" t="str">
        <f t="shared" si="0"/>
        <v>AGRESSIVO-HOTELARIAS</v>
      </c>
      <c r="D8" s="31" t="s">
        <v>18</v>
      </c>
      <c r="E8" s="32" t="s">
        <v>28</v>
      </c>
      <c r="F8" s="33">
        <v>0.1</v>
      </c>
    </row>
    <row r="9" spans="3:6" x14ac:dyDescent="0.25">
      <c r="C9" t="str">
        <f>D9&amp;"-"&amp;E9</f>
        <v>CONSERVADOR-PAPEL</v>
      </c>
      <c r="D9" t="s">
        <v>32</v>
      </c>
      <c r="E9" s="29" t="s">
        <v>23</v>
      </c>
      <c r="F9" s="30">
        <v>0.3</v>
      </c>
    </row>
    <row r="10" spans="3:6" x14ac:dyDescent="0.25">
      <c r="C10" t="str">
        <f t="shared" ref="C10:C20" si="1">D10&amp;"-"&amp;E10</f>
        <v>CONSERVADOR-TIJOLO</v>
      </c>
      <c r="D10" t="s">
        <v>32</v>
      </c>
      <c r="E10" s="29" t="s">
        <v>24</v>
      </c>
      <c r="F10" s="30">
        <v>0.5</v>
      </c>
    </row>
    <row r="11" spans="3:6" x14ac:dyDescent="0.25">
      <c r="C11" t="str">
        <f t="shared" si="1"/>
        <v>CONSERVADOR-HÍBRIDOS</v>
      </c>
      <c r="D11" t="s">
        <v>32</v>
      </c>
      <c r="E11" s="29" t="s">
        <v>25</v>
      </c>
      <c r="F11" s="30">
        <v>0.1</v>
      </c>
    </row>
    <row r="12" spans="3:6" x14ac:dyDescent="0.25">
      <c r="C12" t="str">
        <f t="shared" si="1"/>
        <v>CONSERVADOR-FOF's</v>
      </c>
      <c r="D12" t="s">
        <v>32</v>
      </c>
      <c r="E12" s="29" t="s">
        <v>26</v>
      </c>
      <c r="F12" s="30">
        <v>0.1</v>
      </c>
    </row>
    <row r="13" spans="3:6" x14ac:dyDescent="0.25">
      <c r="C13" t="str">
        <f t="shared" si="1"/>
        <v>CONSERVADOR-DESENVOLVIMENTO</v>
      </c>
      <c r="D13" t="s">
        <v>32</v>
      </c>
      <c r="E13" s="29" t="s">
        <v>27</v>
      </c>
      <c r="F13" s="30">
        <v>0</v>
      </c>
    </row>
    <row r="14" spans="3:6" ht="15.75" thickBot="1" x14ac:dyDescent="0.3">
      <c r="C14" t="str">
        <f t="shared" si="1"/>
        <v>CONSERVADOR-HOTELARIAS</v>
      </c>
      <c r="D14" s="31" t="s">
        <v>32</v>
      </c>
      <c r="E14" s="32" t="s">
        <v>28</v>
      </c>
      <c r="F14" s="33">
        <v>0</v>
      </c>
    </row>
    <row r="15" spans="3:6" x14ac:dyDescent="0.25">
      <c r="C15" t="str">
        <f t="shared" si="1"/>
        <v>MODERADO-PAPEL</v>
      </c>
      <c r="D15" t="s">
        <v>33</v>
      </c>
      <c r="E15" s="29" t="s">
        <v>23</v>
      </c>
      <c r="F15" s="30">
        <v>0.32</v>
      </c>
    </row>
    <row r="16" spans="3:6" x14ac:dyDescent="0.25">
      <c r="C16" t="str">
        <f t="shared" si="1"/>
        <v>MODERADO-TIJOLO</v>
      </c>
      <c r="D16" t="s">
        <v>33</v>
      </c>
      <c r="E16" s="29" t="s">
        <v>24</v>
      </c>
      <c r="F16" s="30">
        <v>0.35</v>
      </c>
    </row>
    <row r="17" spans="3:6" x14ac:dyDescent="0.25">
      <c r="C17" t="str">
        <f t="shared" si="1"/>
        <v>MODERADO-HÍBRIDOS</v>
      </c>
      <c r="D17" t="s">
        <v>33</v>
      </c>
      <c r="E17" s="29" t="s">
        <v>25</v>
      </c>
      <c r="F17" s="30">
        <v>0.08</v>
      </c>
    </row>
    <row r="18" spans="3:6" x14ac:dyDescent="0.25">
      <c r="C18" t="str">
        <f t="shared" si="1"/>
        <v>MODERADO-FOF's</v>
      </c>
      <c r="D18" t="s">
        <v>33</v>
      </c>
      <c r="E18" s="29" t="s">
        <v>26</v>
      </c>
      <c r="F18" s="30">
        <v>0.1</v>
      </c>
    </row>
    <row r="19" spans="3:6" x14ac:dyDescent="0.25">
      <c r="C19" t="str">
        <f t="shared" si="1"/>
        <v>MODERADO-DESENVOLVIMENTO</v>
      </c>
      <c r="D19" t="s">
        <v>33</v>
      </c>
      <c r="E19" s="29" t="s">
        <v>27</v>
      </c>
      <c r="F19" s="30">
        <v>0.1</v>
      </c>
    </row>
    <row r="20" spans="3:6" x14ac:dyDescent="0.25">
      <c r="C20" t="str">
        <f t="shared" si="1"/>
        <v>MODERADO-HOTELARIAS</v>
      </c>
      <c r="D20" t="s">
        <v>33</v>
      </c>
      <c r="E20" s="29" t="s">
        <v>28</v>
      </c>
      <c r="F20" s="3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</vt:lpstr>
      <vt:lpstr>Apoio</vt:lpstr>
      <vt:lpstr>aporte</vt:lpstr>
      <vt:lpstr>aporte2</vt:lpstr>
      <vt:lpstr>patrimonio_acumulado</vt:lpstr>
      <vt:lpstr>Qnt_anos</vt:lpstr>
      <vt:lpstr>rendimento_carteira</vt:lpstr>
      <vt:lpstr>sugestao_invest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Ribeiro</dc:creator>
  <cp:lastModifiedBy>Gabriela Ribeiro</cp:lastModifiedBy>
  <dcterms:created xsi:type="dcterms:W3CDTF">2026-01-11T20:22:11Z</dcterms:created>
  <dcterms:modified xsi:type="dcterms:W3CDTF">2026-01-11T20:24:55Z</dcterms:modified>
</cp:coreProperties>
</file>